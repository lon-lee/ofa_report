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4:I26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6" customWidth="1" min="4" max="4"/>
    <col width="18" customWidth="1" min="5" max="5"/>
    <col width="20" customWidth="1" min="6" max="6"/>
    <col width="12" customWidth="1" min="7" max="7"/>
    <col width="4" customWidth="1" min="8" max="8"/>
    <col width="12" customWidth="1" min="9" max="9"/>
  </cols>
  <sheetData>
    <row r="14">
      <c r="B14" s="1" t="inlineStr">
        <is>
          <t>기준일</t>
        </is>
      </c>
      <c r="C14" s="1" t="inlineStr">
        <is>
          <t>보유주식 수(잔고)</t>
        </is>
      </c>
      <c r="D14" s="1" t="inlineStr">
        <is>
          <t>신고 대상 여부</t>
        </is>
      </c>
      <c r="E14" s="1" t="inlineStr">
        <is>
          <t>USD</t>
        </is>
      </c>
      <c r="F14" s="1" t="inlineStr">
        <is>
          <t>KRW</t>
        </is>
      </c>
      <c r="G14" s="1" t="inlineStr">
        <is>
          <t>종가</t>
        </is>
      </c>
      <c r="I14" s="1" t="inlineStr">
        <is>
          <t>환율</t>
        </is>
      </c>
    </row>
    <row r="15">
      <c r="B15" s="2" t="n"/>
      <c r="C15" s="2" t="n"/>
      <c r="D15" s="2">
        <f>IF(F15&gt;500000000,"신고대상","신고 미대상")</f>
        <v/>
      </c>
      <c r="E15" s="3">
        <f>ROUND(C15*G15,0)</f>
        <v/>
      </c>
      <c r="F15" s="3">
        <f>E15*I15</f>
        <v/>
      </c>
      <c r="G15" s="4" t="n"/>
      <c r="I15" s="4" t="n"/>
    </row>
    <row r="16">
      <c r="B16" s="2" t="n"/>
      <c r="C16" s="2" t="n"/>
      <c r="D16" s="2">
        <f>IF(F16&gt;500000000,"신고대상","신고 미대상")</f>
        <v/>
      </c>
      <c r="E16" s="3">
        <f>ROUND(C16*G16,0)</f>
        <v/>
      </c>
      <c r="F16" s="3">
        <f>E16*I16</f>
        <v/>
      </c>
      <c r="G16" s="4" t="n"/>
      <c r="I16" s="4" t="n"/>
    </row>
    <row r="17">
      <c r="B17" s="2" t="n"/>
      <c r="C17" s="2" t="n"/>
      <c r="D17" s="2">
        <f>IF(F17&gt;500000000,"신고대상","신고 미대상")</f>
        <v/>
      </c>
      <c r="E17" s="3">
        <f>ROUND(C17*G17,0)</f>
        <v/>
      </c>
      <c r="F17" s="3">
        <f>E17*I17</f>
        <v/>
      </c>
      <c r="G17" s="4" t="n"/>
      <c r="I17" s="4" t="n"/>
    </row>
    <row r="18">
      <c r="B18" s="2" t="n"/>
      <c r="C18" s="2" t="n"/>
      <c r="D18" s="2">
        <f>IF(F18&gt;500000000,"신고대상","신고 미대상")</f>
        <v/>
      </c>
      <c r="E18" s="3">
        <f>ROUND(C18*G18,0)</f>
        <v/>
      </c>
      <c r="F18" s="3">
        <f>E18*I18</f>
        <v/>
      </c>
      <c r="G18" s="4" t="n"/>
      <c r="I18" s="4" t="n"/>
    </row>
    <row r="19">
      <c r="B19" s="2" t="n"/>
      <c r="C19" s="2" t="n"/>
      <c r="D19" s="2">
        <f>IF(F19&gt;500000000,"신고대상","신고 미대상")</f>
        <v/>
      </c>
      <c r="E19" s="3">
        <f>ROUND(C19*G19,0)</f>
        <v/>
      </c>
      <c r="F19" s="3">
        <f>E19*I19</f>
        <v/>
      </c>
      <c r="G19" s="4" t="n"/>
      <c r="I19" s="4" t="n"/>
    </row>
    <row r="20">
      <c r="B20" s="2" t="n"/>
      <c r="C20" s="2" t="n"/>
      <c r="D20" s="2">
        <f>IF(F20&gt;500000000,"신고대상","신고 미대상")</f>
        <v/>
      </c>
      <c r="E20" s="3">
        <f>ROUND(C20*G20,0)</f>
        <v/>
      </c>
      <c r="F20" s="3">
        <f>E20*I20</f>
        <v/>
      </c>
      <c r="G20" s="4" t="n"/>
      <c r="I20" s="4" t="n"/>
    </row>
    <row r="21">
      <c r="B21" s="2" t="n"/>
      <c r="C21" s="2" t="n"/>
      <c r="D21" s="2">
        <f>IF(F21&gt;500000000,"신고대상","신고 미대상")</f>
        <v/>
      </c>
      <c r="E21" s="3">
        <f>ROUND(C21*G21,0)</f>
        <v/>
      </c>
      <c r="F21" s="3">
        <f>E21*I21</f>
        <v/>
      </c>
      <c r="G21" s="4" t="n"/>
      <c r="I21" s="4" t="n"/>
    </row>
    <row r="22">
      <c r="B22" s="2" t="n"/>
      <c r="C22" s="2" t="n"/>
      <c r="D22" s="2">
        <f>IF(F22&gt;500000000,"신고대상","신고 미대상")</f>
        <v/>
      </c>
      <c r="E22" s="3">
        <f>ROUND(C22*G22,0)</f>
        <v/>
      </c>
      <c r="F22" s="3">
        <f>E22*I22</f>
        <v/>
      </c>
      <c r="G22" s="4" t="n"/>
      <c r="I22" s="4" t="n"/>
    </row>
    <row r="23">
      <c r="B23" s="2" t="n"/>
      <c r="C23" s="2" t="n"/>
      <c r="D23" s="2">
        <f>IF(F23&gt;500000000,"신고대상","신고 미대상")</f>
        <v/>
      </c>
      <c r="E23" s="3">
        <f>ROUND(C23*G23,0)</f>
        <v/>
      </c>
      <c r="F23" s="3">
        <f>E23*I23</f>
        <v/>
      </c>
      <c r="G23" s="4" t="n"/>
      <c r="I23" s="4" t="n"/>
    </row>
    <row r="24">
      <c r="B24" s="2" t="n"/>
      <c r="C24" s="2" t="n"/>
      <c r="D24" s="2">
        <f>IF(F24&gt;500000000,"신고대상","신고 미대상")</f>
        <v/>
      </c>
      <c r="E24" s="3">
        <f>ROUND(C24*G24,0)</f>
        <v/>
      </c>
      <c r="F24" s="3">
        <f>E24*I24</f>
        <v/>
      </c>
      <c r="G24" s="4" t="n"/>
      <c r="I24" s="4" t="n"/>
    </row>
    <row r="25">
      <c r="B25" s="2" t="n"/>
      <c r="C25" s="2" t="n"/>
      <c r="D25" s="2">
        <f>IF(F25&gt;500000000,"신고대상","신고 미대상")</f>
        <v/>
      </c>
      <c r="E25" s="3">
        <f>ROUND(C25*G25,0)</f>
        <v/>
      </c>
      <c r="F25" s="3">
        <f>E25*I25</f>
        <v/>
      </c>
      <c r="G25" s="4" t="n"/>
      <c r="I25" s="4" t="n"/>
    </row>
    <row r="26">
      <c r="B26" s="2" t="n"/>
      <c r="C26" s="2" t="n"/>
      <c r="D26" s="2">
        <f>IF(F26&gt;500000000,"신고대상","신고 미대상")</f>
        <v/>
      </c>
      <c r="E26" s="3">
        <f>ROUND(C26*G26,0)</f>
        <v/>
      </c>
      <c r="F26" s="3">
        <f>E26*I26</f>
        <v/>
      </c>
      <c r="G26" s="4" t="n"/>
      <c r="I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2026-06-03T04:44:23Z</dcterms:created>
  <dcterms:modified xsi:type="dcterms:W3CDTF">2026-06-03T04:44:23Z</dcterms:modified>
</cp:coreProperties>
</file>